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Settings" state="visible" r:id="rId5"/>
    <sheet sheetId="3" name="Events" state="visible" r:id="rId6"/>
    <sheet sheetId="4" name="Attendance Log" state="visible" r:id="rId7"/>
    <sheet sheetId="5" name="Members" state="visible" r:id="rId8"/>
    <sheet sheetId="6" name="Prospective Members" state="visible" r:id="rId9"/>
    <sheet sheetId="7" name="Unmatched Scans" state="visible" r:id="rId10"/>
    <sheet sheetId="8" name="How To Use" state="visible" r:id="rId11"/>
  </sheets>
  <calcPr calcId="171027"/>
</workbook>
</file>

<file path=xl/sharedStrings.xml><?xml version="1.0" encoding="utf-8"?>
<sst xmlns="http://schemas.openxmlformats.org/spreadsheetml/2006/main" count="179" uniqueCount="115">
  <si>
    <t>Collegiate 100 at GSU - Fall 2026 Dashboard</t>
  </si>
  <si>
    <t>MEMBERSHIP</t>
  </si>
  <si>
    <t>Members on roster (Active)</t>
  </si>
  <si>
    <t>Collegiate 100 at GSU - Membership Tracker</t>
  </si>
  <si>
    <t>Fall 2026  |  Built Sep 4, 2026</t>
  </si>
  <si>
    <t>Active-member standards (per semester)</t>
  </si>
  <si>
    <t>Meetings required</t>
  </si>
  <si>
    <t>General events required</t>
  </si>
  <si>
    <t>Service events required</t>
  </si>
  <si>
    <t>Mentoring (Carver/BEST) required</t>
  </si>
  <si>
    <t>Dues deadline</t>
  </si>
  <si>
    <t>Date</t>
  </si>
  <si>
    <t>Event</t>
  </si>
  <si>
    <t>Time</t>
  </si>
  <si>
    <t>Location / Room</t>
  </si>
  <si>
    <t>Category</t>
  </si>
  <si>
    <t>PIN Event Name (exact, for matching)</t>
  </si>
  <si>
    <t>Status</t>
  </si>
  <si>
    <t>Members Scanned</t>
  </si>
  <si>
    <t>Prospects Scanned</t>
  </si>
  <si>
    <t>Total Scanned</t>
  </si>
  <si>
    <t>Notes</t>
  </si>
  <si>
    <t>Kickoff (GBM)</t>
  </si>
  <si>
    <t>5:30-7:00 PM</t>
  </si>
  <si>
    <t>Library Classroom 1</t>
  </si>
  <si>
    <t>Meeting</t>
  </si>
  <si>
    <t>Kickoff: General Body Meeting</t>
  </si>
  <si>
    <t>General Body Meeting</t>
  </si>
  <si>
    <t>Meet The 100</t>
  </si>
  <si>
    <t>6:00-7:30 PM</t>
  </si>
  <si>
    <t>SCW 466</t>
  </si>
  <si>
    <t>Recruitment</t>
  </si>
  <si>
    <t>Meet the 100</t>
  </si>
  <si>
    <t>Prospective-member event</t>
  </si>
  <si>
    <t>Park Clean Up</t>
  </si>
  <si>
    <t>TBD</t>
  </si>
  <si>
    <t>Service</t>
  </si>
  <si>
    <t>Manual paper sign-in (no PIN scans)</t>
  </si>
  <si>
    <t>Wellness Pilates</t>
  </si>
  <si>
    <t>12:00-3:00 PM</t>
  </si>
  <si>
    <t>Veterans Hall</t>
  </si>
  <si>
    <t>General</t>
  </si>
  <si>
    <t>PENDING approval</t>
  </si>
  <si>
    <t>Community Impact Day</t>
  </si>
  <si>
    <t>Date TBD</t>
  </si>
  <si>
    <t>PIN Event Name</t>
  </si>
  <si>
    <t>Event Date</t>
  </si>
  <si>
    <t>First Name</t>
  </si>
  <si>
    <t>Last Name</t>
  </si>
  <si>
    <t>Email</t>
  </si>
  <si>
    <t>Attendance Status</t>
  </si>
  <si>
    <t>Marked By</t>
  </si>
  <si>
    <t>Marked On</t>
  </si>
  <si>
    <t>Card ID</t>
  </si>
  <si>
    <t>Person Type</t>
  </si>
  <si>
    <t>Alex</t>
  </si>
  <si>
    <t>Rivera</t>
  </si>
  <si>
    <t>arivera1@student.gsu.edu</t>
  </si>
  <si>
    <t>Attended</t>
  </si>
  <si>
    <t>Officer A</t>
  </si>
  <si>
    <t>9/2/2026 5:37 PM</t>
  </si>
  <si>
    <t>001000001</t>
  </si>
  <si>
    <t>Blair</t>
  </si>
  <si>
    <t>Chen</t>
  </si>
  <si>
    <t>bchen2@student.gsu.edu</t>
  </si>
  <si>
    <t>9/2/2026 5:40 PM</t>
  </si>
  <si>
    <t>001000002</t>
  </si>
  <si>
    <t>ARivera1@student.gsu.edu</t>
  </si>
  <si>
    <t>9/3/2026 6:01 PM</t>
  </si>
  <si>
    <t>Casey</t>
  </si>
  <si>
    <t>Diaz</t>
  </si>
  <si>
    <t>cdiaz3@student.gsu.edu</t>
  </si>
  <si>
    <t>9/3/2026 6:02 PM</t>
  </si>
  <si>
    <t>001000003</t>
  </si>
  <si>
    <t>Drew</t>
  </si>
  <si>
    <t>Evans</t>
  </si>
  <si>
    <t>MANUAL-devans</t>
  </si>
  <si>
    <t>Manual (paper sign-in)</t>
  </si>
  <si>
    <t>09/25/2026</t>
  </si>
  <si>
    <t>MANUAL</t>
  </si>
  <si>
    <t>Unknown Event Name</t>
  </si>
  <si>
    <t>9/20/2026</t>
  </si>
  <si>
    <t>E-Board Role</t>
  </si>
  <si>
    <t>Committee</t>
  </si>
  <si>
    <t>Member Status</t>
  </si>
  <si>
    <t>Dues Paid (Y/N)</t>
  </si>
  <si>
    <t>Dues Status</t>
  </si>
  <si>
    <t>Meetings</t>
  </si>
  <si>
    <t>General Events</t>
  </si>
  <si>
    <t>Mentoring</t>
  </si>
  <si>
    <t>Study Sessions</t>
  </si>
  <si>
    <t>Total (counted)</t>
  </si>
  <si>
    <t>Standing</t>
  </si>
  <si>
    <t>Strikes (0-3)</t>
  </si>
  <si>
    <t>Strike Status</t>
  </si>
  <si>
    <t>President</t>
  </si>
  <si>
    <t>Active</t>
  </si>
  <si>
    <t>Y</t>
  </si>
  <si>
    <t>Email captured from 9/2 scan</t>
  </si>
  <si>
    <t>Jordan</t>
  </si>
  <si>
    <t>Not Verified</t>
  </si>
  <si>
    <t>GroupMe only - email needed</t>
  </si>
  <si>
    <t>Events Attended</t>
  </si>
  <si>
    <t>Interest Level</t>
  </si>
  <si>
    <t>First Seen (event)</t>
  </si>
  <si>
    <t>Converted to Member? (Y/N)</t>
  </si>
  <si>
    <t>MANUAL - no email on file</t>
  </si>
  <si>
    <t>Action</t>
  </si>
  <si>
    <t>Sam</t>
  </si>
  <si>
    <t>Smith</t>
  </si>
  <si>
    <t>(no email - manual sign-in)</t>
  </si>
  <si>
    <t>Name on paper sign-in doesn't match any record.</t>
  </si>
  <si>
    <t>HOW THIS WORKBOOK WORKS</t>
  </si>
  <si>
    <t>Graduated (not tracked)</t>
  </si>
  <si>
    <t>Former Member A, Former Member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</si>
</sst>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1" x14ac:dyDescent="0.25">
      <c r="A1" t="s">
        <v>0</v>
      </c>
    </row>
    <row r="4" spans="1:1" x14ac:dyDescent="0.25">
      <c r="A4" t="s">
        <v>1</v>
      </c>
    </row>
    <row r="5" spans="1:2" x14ac:dyDescent="0.25">
      <c r="A5" t="s">
        <v>2</v>
      </c>
      <c r="B5">
        <f>COUNTIF(Members!$F$2:$F$300,"Active")</f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3</v>
      </c>
    </row>
    <row r="2" spans="1:1" x14ac:dyDescent="0.25">
      <c r="A2" t="s">
        <v>4</v>
      </c>
    </row>
    <row r="4" spans="1:1" x14ac:dyDescent="0.25">
      <c r="A4" t="s">
        <v>5</v>
      </c>
    </row>
    <row r="5" spans="1:2" x14ac:dyDescent="0.25">
      <c r="A5" t="s">
        <v>6</v>
      </c>
      <c r="B5">
        <v>2</v>
      </c>
    </row>
    <row r="6" spans="1:2" x14ac:dyDescent="0.25">
      <c r="A6" t="s">
        <v>7</v>
      </c>
      <c r="B6">
        <v>3</v>
      </c>
    </row>
    <row r="7" spans="1:2" x14ac:dyDescent="0.25">
      <c r="A7" t="s">
        <v>8</v>
      </c>
      <c r="B7">
        <v>3</v>
      </c>
    </row>
    <row r="8" spans="1:2" x14ac:dyDescent="0.25">
      <c r="A8" t="s">
        <v>9</v>
      </c>
      <c r="B8">
        <v>3</v>
      </c>
    </row>
    <row r="9" spans="1:2" x14ac:dyDescent="0.25">
      <c r="A9" t="s">
        <v>10</v>
      </c>
      <c r="B9" s="1">
        <v>46303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s="1">
        <v>46267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tr">
        <f>IF(A2="","TBD","Logged")</f>
        <v>Logged</v>
      </c>
      <c r="K2" t="s">
        <v>27</v>
      </c>
    </row>
    <row r="3" spans="1:11" x14ac:dyDescent="0.25">
      <c r="A3" s="1">
        <v>46268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K3" t="s">
        <v>33</v>
      </c>
    </row>
    <row r="4" spans="1:11" x14ac:dyDescent="0.25">
      <c r="A4" s="1">
        <v>46283</v>
      </c>
      <c r="B4" t="s">
        <v>34</v>
      </c>
      <c r="C4" t="s">
        <v>35</v>
      </c>
      <c r="D4" t="s">
        <v>35</v>
      </c>
      <c r="E4" t="s">
        <v>36</v>
      </c>
      <c r="F4" t="s">
        <v>34</v>
      </c>
      <c r="K4" t="s">
        <v>37</v>
      </c>
    </row>
    <row r="5" spans="1:11" x14ac:dyDescent="0.25">
      <c r="A5" s="1">
        <v>46318</v>
      </c>
      <c r="B5" t="s">
        <v>38</v>
      </c>
      <c r="C5" t="s">
        <v>39</v>
      </c>
      <c r="D5" t="s">
        <v>40</v>
      </c>
      <c r="E5" t="s">
        <v>41</v>
      </c>
      <c r="K5" t="s">
        <v>42</v>
      </c>
    </row>
    <row r="6" spans="1:11" x14ac:dyDescent="0.25">
      <c r="B6" t="s">
        <v>43</v>
      </c>
      <c r="E6" t="s">
        <v>36</v>
      </c>
      <c r="K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sheetData>
    <row r="1" spans="1:11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15</v>
      </c>
      <c r="K1" t="s">
        <v>54</v>
      </c>
    </row>
    <row r="2" spans="1:11" x14ac:dyDescent="0.25">
      <c r="A2" t="s">
        <v>26</v>
      </c>
      <c r="B2" s="1">
        <v>46267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tr">
        <f>x</f>
        <v>Meeting</v>
      </c>
      <c r="K2" t="str">
        <f>y</f>
        <v>Member</v>
      </c>
    </row>
    <row r="3" spans="1:9" x14ac:dyDescent="0.25">
      <c r="A3" t="s">
        <v>26</v>
      </c>
      <c r="B3" s="1">
        <v>46267</v>
      </c>
      <c r="C3" t="s">
        <v>62</v>
      </c>
      <c r="D3" t="s">
        <v>63</v>
      </c>
      <c r="E3" t="s">
        <v>64</v>
      </c>
      <c r="F3" t="s">
        <v>58</v>
      </c>
      <c r="G3" t="s">
        <v>59</v>
      </c>
      <c r="H3" t="s">
        <v>65</v>
      </c>
      <c r="I3" t="s">
        <v>66</v>
      </c>
    </row>
    <row r="4" spans="1:9" x14ac:dyDescent="0.25">
      <c r="A4" t="s">
        <v>32</v>
      </c>
      <c r="B4" s="1">
        <v>46268</v>
      </c>
      <c r="C4" t="s">
        <v>55</v>
      </c>
      <c r="D4" t="s">
        <v>56</v>
      </c>
      <c r="E4" t="s">
        <v>67</v>
      </c>
      <c r="F4" t="s">
        <v>58</v>
      </c>
      <c r="G4" t="s">
        <v>59</v>
      </c>
      <c r="H4" t="s">
        <v>68</v>
      </c>
      <c r="I4" t="s">
        <v>61</v>
      </c>
    </row>
    <row r="5" spans="1:9" x14ac:dyDescent="0.25">
      <c r="A5" t="s">
        <v>32</v>
      </c>
      <c r="B5" s="1">
        <v>46268</v>
      </c>
      <c r="C5" t="s">
        <v>69</v>
      </c>
      <c r="D5" t="s">
        <v>70</v>
      </c>
      <c r="E5" t="s">
        <v>71</v>
      </c>
      <c r="F5" t="s">
        <v>58</v>
      </c>
      <c r="G5" t="s">
        <v>59</v>
      </c>
      <c r="H5" t="s">
        <v>72</v>
      </c>
      <c r="I5" t="s">
        <v>73</v>
      </c>
    </row>
    <row r="6" spans="1:9" x14ac:dyDescent="0.25">
      <c r="A6" t="s">
        <v>34</v>
      </c>
      <c r="B6" s="1">
        <v>46283</v>
      </c>
      <c r="C6" t="s">
        <v>74</v>
      </c>
      <c r="D6" t="s">
        <v>75</v>
      </c>
      <c r="E6" t="s">
        <v>76</v>
      </c>
      <c r="F6" t="s">
        <v>58</v>
      </c>
      <c r="G6" t="s">
        <v>77</v>
      </c>
      <c r="H6" t="s">
        <v>78</v>
      </c>
      <c r="I6" t="s">
        <v>79</v>
      </c>
    </row>
    <row r="7" spans="1:9" x14ac:dyDescent="0.25">
      <c r="A7" t="s">
        <v>34</v>
      </c>
      <c r="B7" s="1">
        <v>46283</v>
      </c>
      <c r="C7" t="s">
        <v>62</v>
      </c>
      <c r="D7" t="s">
        <v>63</v>
      </c>
      <c r="E7" t="s">
        <v>64</v>
      </c>
      <c r="F7" t="s">
        <v>58</v>
      </c>
      <c r="G7" t="s">
        <v>77</v>
      </c>
      <c r="H7" t="s">
        <v>78</v>
      </c>
      <c r="I7" t="s">
        <v>79</v>
      </c>
    </row>
    <row r="8" spans="1:9" x14ac:dyDescent="0.25">
      <c r="A8" t="s">
        <v>80</v>
      </c>
      <c r="B8" s="1">
        <v>46285</v>
      </c>
      <c r="C8" t="s">
        <v>62</v>
      </c>
      <c r="D8" t="s">
        <v>63</v>
      </c>
      <c r="E8" t="s">
        <v>64</v>
      </c>
      <c r="F8" t="s">
        <v>58</v>
      </c>
      <c r="G8" t="s">
        <v>59</v>
      </c>
      <c r="H8" t="s">
        <v>81</v>
      </c>
      <c r="I8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sheetData>
    <row r="1" spans="1:18" x14ac:dyDescent="0.25">
      <c r="A1" t="s">
        <v>47</v>
      </c>
      <c r="B1" t="s">
        <v>48</v>
      </c>
      <c r="C1" t="s">
        <v>49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36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21</v>
      </c>
    </row>
    <row r="2" spans="1:18" x14ac:dyDescent="0.25">
      <c r="A2" t="s">
        <v>55</v>
      </c>
      <c r="B2" t="s">
        <v>56</v>
      </c>
      <c r="C2" t="s">
        <v>57</v>
      </c>
      <c r="D2" t="s">
        <v>95</v>
      </c>
      <c r="F2" t="s">
        <v>96</v>
      </c>
      <c r="G2" t="s">
        <v>97</v>
      </c>
      <c r="H2" t="str">
        <f>IF(...)</f>
        <v>Paid</v>
      </c>
      <c r="I2">
        <f>COUNTIFS(...)</f>
        <v>1</v>
      </c>
      <c r="J2">
        <f>COUNTIFS(...)</f>
        <v>0</v>
      </c>
      <c r="K2">
        <f>COUNTIFS(...)</f>
        <v>0</v>
      </c>
      <c r="L2">
        <f>COUNTIFS(...)</f>
        <v>0</v>
      </c>
      <c r="M2">
        <f>COUNTIFS(...)</f>
        <v>0</v>
      </c>
      <c r="N2">
        <f>COUNTIFS(...)</f>
        <v>1</v>
      </c>
      <c r="O2" t="str">
        <f>IF(...)</f>
        <v>In Progress</v>
      </c>
      <c r="P2">
        <v>0</v>
      </c>
      <c r="Q2" t="str">
        <f>IF(...)</f>
        <v/>
      </c>
    </row>
    <row r="3" spans="1:18" x14ac:dyDescent="0.25">
      <c r="A3" t="s">
        <v>62</v>
      </c>
      <c r="B3" t="s">
        <v>63</v>
      </c>
      <c r="C3" t="s">
        <v>64</v>
      </c>
      <c r="E3" t="s">
        <v>36</v>
      </c>
      <c r="F3" t="s">
        <v>96</v>
      </c>
      <c r="I3">
        <f>COUNTIFS(...)</f>
        <v>1</v>
      </c>
      <c r="J3">
        <f>COUNTIFS(...)</f>
        <v>0</v>
      </c>
      <c r="K3">
        <f>COUNTIFS(...)</f>
        <v>1</v>
      </c>
      <c r="L3">
        <f>COUNTIFS(...)</f>
        <v>0</v>
      </c>
      <c r="M3">
        <f>COUNTIFS(...)</f>
        <v>0</v>
      </c>
      <c r="N3">
        <f>COUNTIFS(...)</f>
        <v>2</v>
      </c>
      <c r="P3">
        <v>1</v>
      </c>
      <c r="R3" t="s">
        <v>98</v>
      </c>
    </row>
    <row r="4" spans="1:18" x14ac:dyDescent="0.25">
      <c r="A4" t="s">
        <v>99</v>
      </c>
      <c r="F4" t="s">
        <v>100</v>
      </c>
      <c r="I4">
        <f>COUNTIFS(...)</f>
        <v>0</v>
      </c>
      <c r="J4">
        <f>COUNTIFS(...)</f>
        <v>0</v>
      </c>
      <c r="K4">
        <f>COUNTIFS(...)</f>
        <v>0</v>
      </c>
      <c r="L4">
        <f>COUNTIFS(...)</f>
        <v>0</v>
      </c>
      <c r="M4">
        <f>COUNTIFS(...)</f>
        <v>0</v>
      </c>
      <c r="N4">
        <f>COUNTIFS(...)</f>
        <v>0</v>
      </c>
      <c r="P4">
        <v>0</v>
      </c>
      <c r="R4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47</v>
      </c>
      <c r="B1" t="s">
        <v>48</v>
      </c>
      <c r="C1" t="s">
        <v>49</v>
      </c>
      <c r="D1" t="s">
        <v>102</v>
      </c>
      <c r="E1" t="s">
        <v>103</v>
      </c>
      <c r="F1" t="s">
        <v>104</v>
      </c>
      <c r="G1" t="s">
        <v>105</v>
      </c>
      <c r="H1" t="s">
        <v>21</v>
      </c>
    </row>
    <row r="2" spans="1:8" x14ac:dyDescent="0.25">
      <c r="A2" t="s">
        <v>69</v>
      </c>
      <c r="B2" t="s">
        <v>70</v>
      </c>
      <c r="C2" t="s">
        <v>71</v>
      </c>
      <c r="D2">
        <f>COUNTIFS()</f>
        <v>1</v>
      </c>
      <c r="E2" t="str">
        <f>IF()</f>
        <v>Low</v>
      </c>
      <c r="F2" t="s">
        <v>32</v>
      </c>
    </row>
    <row r="3" spans="1:8" x14ac:dyDescent="0.25">
      <c r="A3" t="s">
        <v>74</v>
      </c>
      <c r="B3" t="s">
        <v>75</v>
      </c>
      <c r="C3" t="s">
        <v>76</v>
      </c>
      <c r="D3">
        <f>COUNTIFS()</f>
        <v>1</v>
      </c>
      <c r="F3" t="s">
        <v>34</v>
      </c>
      <c r="H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47</v>
      </c>
      <c r="B1" t="s">
        <v>48</v>
      </c>
      <c r="C1" t="s">
        <v>49</v>
      </c>
      <c r="D1" t="s">
        <v>12</v>
      </c>
      <c r="E1" t="s">
        <v>11</v>
      </c>
      <c r="F1" t="s">
        <v>107</v>
      </c>
    </row>
    <row r="2" spans="1:6" x14ac:dyDescent="0.25">
      <c r="A2" t="s">
        <v>108</v>
      </c>
      <c r="B2" t="s">
        <v>109</v>
      </c>
      <c r="C2" t="s">
        <v>110</v>
      </c>
      <c r="D2" t="s">
        <v>34</v>
      </c>
      <c r="E2" s="1">
        <v>46283</v>
      </c>
      <c r="F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112</v>
      </c>
    </row>
    <row r="2" spans="1:2" x14ac:dyDescent="0.25">
      <c r="A2" t="s">
        <v>113</v>
      </c>
      <c r="B2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Settings</vt:lpstr>
      <vt:lpstr>Events</vt:lpstr>
      <vt:lpstr>Attendance Log</vt:lpstr>
      <vt:lpstr>Members</vt:lpstr>
      <vt:lpstr>Prospective Members</vt:lpstr>
      <vt:lpstr>Unmatched Scans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2026-10-16T17:35:29Z</dcterms:created>
  <dcterms:modified xsi:type="dcterms:W3CDTF">2026-10-16T17:35:29Z</dcterms:modified>
</cp:coreProperties>
</file>